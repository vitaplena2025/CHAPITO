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d701e2c5b4f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ía" sheetId="1" r:id="R9a026330d5444c72"/>
    <x:sheet xmlns:r="http://schemas.openxmlformats.org/officeDocument/2006/relationships" name="Importación" sheetId="2" r:id="Rc93478092a5a4d55"/>
    <x:sheet xmlns:r="http://schemas.openxmlformats.org/officeDocument/2006/relationships" name="Información Pendiente" sheetId="3" r:id="R090b3437b85647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$#,##0.0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F172A"/>
      <x:name val="Carlito"/>
    </x:font>
    <x:font>
      <x:b/>
      <x:sz val="12"/>
      <x:color rgb="FFFFFFFF"/>
      <x:name val="Carlito"/>
    </x:font>
    <x:font>
      <x:sz val="11"/>
      <x:color rgb="FF334155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A1628"/>
      </x:patternFill>
    </x:fill>
    <x:fill>
      <x:patternFill patternType="solid">
        <x:fgColor rgb="FFE2E8F0"/>
      </x:patternFill>
    </x:fill>
    <x:fill>
      <x:patternFill patternType="solid">
        <x:fgColor rgb="FF146B5E"/>
      </x:patternFill>
    </x:fill>
  </x:fills>
  <x:borders count="10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200" fontId="2" fillId="3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4" borderId="7" xfId="0" applyNumberFormat="1" applyFont="1" applyFill="1" applyBorder="1" applyAlignment="1">
      <x:alignment vertical="center" wrapText="1"/>
    </x:xf>
    <x:xf numFmtId="201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9" xfId="0" applyNumberFormat="1" applyFont="1" applyFill="1" applyBorder="1"/>
    <x:xf numFmtId="0" fontId="0" fillId="0" borderId="9" xfId="0" applyNumberFormat="1" applyFont="1" applyFill="1" applyBorder="1"/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8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9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8" xfId="0" applyNumberFormat="1" applyFont="1" applyFill="1" applyBorder="1" applyAlignment="1">
      <x:alignment vertical="top"/>
    </x:xf>
    <x:xf numFmtId="202" fontId="0" fillId="0" borderId="9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6" fillId="4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f05caf4e16429a" /><Relationship Type="http://schemas.openxmlformats.org/officeDocument/2006/relationships/theme" Target="/xl/theme/theme1.xml" Id="Re089b0cc704640af" /><Relationship Type="http://schemas.microsoft.com/office/2022/11/relationships/FeaturePropertyBag" Target="/xl/featurePropertyBag/featurePropertyBag.xml" Id="R61239b1469b142d0" /><Relationship Type="http://schemas.openxmlformats.org/officeDocument/2006/relationships/sharedStrings" Target="/xl/sharedStrings.xml" Id="R88860452605b458d" /><Relationship Type="http://schemas.openxmlformats.org/officeDocument/2006/relationships/worksheet" Target="/xl/worksheets/sheet1.xml" Id="R9a026330d5444c72" /><Relationship Type="http://schemas.openxmlformats.org/officeDocument/2006/relationships/worksheet" Target="/xl/worksheets/sheet2.xml" Id="Rc93478092a5a4d55" /><Relationship Type="http://schemas.openxmlformats.org/officeDocument/2006/relationships/worksheet" Target="/xl/worksheets/sheet3.xml" Id="R090b3437b85647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2" customHeight="1">
      <x:c r="A1" s="3" t="str">
        <x:v>Integración de productos Hua Xing en CHAPITO</x:v>
      </x:c>
      <x:c r="B1" s="3"/>
      <x:c r="C1" s="3"/>
      <x:c r="D1" s="3"/>
      <x:c r="E1" s="3"/>
      <x:c r="F1" s="3"/>
      <x:c r="G1" s="3"/>
    </x:row>
    <x:row r="3">
      <x:c r="A3" s="6" t="str">
        <x:v>Fuente</x:v>
      </x:c>
      <x:c r="B3" s="7" t="str">
        <x:v>ITEMS HUA XING.xls</x:v>
      </x:c>
    </x:row>
    <x:row r="4">
      <x:c r="A4" s="8" t="str">
        <x:v>Hoja fuente</x:v>
      </x:c>
      <x:c r="B4" s="9" t="str">
        <x:v>Worksheet</x:v>
      </x:c>
    </x:row>
    <x:row r="5">
      <x:c r="A5" s="8" t="str">
        <x:v>Proyecto Supabase</x:v>
      </x:c>
      <x:c r="B5" s="9" t="str">
        <x:v>CHAPITO (ejkvymlezbqvzsmwejca)</x:v>
      </x:c>
    </x:row>
    <x:row r="6">
      <x:c r="A6" s="8" t="str">
        <x:v>Tabla destino</x:v>
      </x:c>
      <x:c r="B6" s="9" t="str">
        <x:v>public.skus</x:v>
      </x:c>
    </x:row>
    <x:row r="7">
      <x:c r="A7" s="8" t="str">
        <x:v>Compañía aplicada</x:v>
      </x:c>
      <x:c r="B7" s="9" t="str">
        <x:v>Hua Xing</x:v>
      </x:c>
    </x:row>
    <x:row r="8">
      <x:c r="A8" s="8" t="str">
        <x:v>Productos detectados</x:v>
      </x:c>
      <x:c r="B8" s="9" t="n">
        <x:v>8</x:v>
      </x:c>
    </x:row>
    <x:row r="9">
      <x:c r="A9" s="8" t="str">
        <x:v>Convención SKU</x:v>
      </x:c>
      <x:c r="B9" s="9" t="str">
        <x:v>HX-&lt;SKU fuente&gt;</x:v>
      </x:c>
    </x:row>
    <x:row r="10">
      <x:c r="A10" s="10" t="str">
        <x:v>Fecha de preparación</x:v>
      </x:c>
      <x:c r="B10" s="11" t="str">
        <x:v>2026-07-28</x:v>
      </x:c>
    </x:row>
    <x:row r="12">
      <x:c r="A12" s="13" t="str">
        <x:v>Supuestos aplicados</x:v>
      </x:c>
      <x:c r="B12" s="13"/>
      <x:c r="C12" s="13"/>
      <x:c r="D12" s="13"/>
      <x:c r="E12" s="13"/>
      <x:c r="F12" s="13"/>
      <x:c r="G12" s="13"/>
    </x:row>
    <x:row r="13" ht="26" customHeight="1">
      <x:c r="A13" s="16" t="str">
        <x:v>1. Todos los productos pertenecen a Hua Xing porque así lo confirmó el usuario.</x:v>
      </x:c>
      <x:c r="B13" s="16"/>
      <x:c r="C13" s="16"/>
      <x:c r="D13" s="16"/>
      <x:c r="E13" s="16"/>
      <x:c r="F13" s="16"/>
      <x:c r="G13" s="16"/>
    </x:row>
    <x:row r="14" ht="26" customHeight="1">
      <x:c r="A14" s="16" t="str">
        <x:v>2. Los SKU se conservaron como texto y recibieron el prefijo HX- para separarlos por compañía.</x:v>
      </x:c>
      <x:c r="B14" s="16"/>
      <x:c r="C14" s="16"/>
      <x:c r="D14" s="16"/>
      <x:c r="E14" s="16"/>
      <x:c r="F14" s="16"/>
      <x:c r="G14" s="16"/>
    </x:row>
    <x:row r="15" ht="26" customHeight="1">
      <x:c r="A15" s="16" t="str">
        <x:v>3. Se normalizaron espacios repetidos y espacios finales en las descripciones.</x:v>
      </x:c>
      <x:c r="B15" s="16"/>
      <x:c r="C15" s="16"/>
      <x:c r="D15" s="16"/>
      <x:c r="E15" s="16"/>
      <x:c r="F15" s="16"/>
      <x:c r="G15" s="16"/>
    </x:row>
    <x:row r="16" ht="26" customHeight="1">
      <x:c r="A16" s="16" t="str">
        <x:v>4. Brand, landed_cost y notes se dejan NULL porque no aparecen en la fuente.</x:v>
      </x:c>
      <x:c r="B16" s="16"/>
      <x:c r="C16" s="16"/>
      <x:c r="D16" s="16"/>
      <x:c r="E16" s="16"/>
      <x:c r="F16" s="16"/>
      <x:c r="G16" s="16"/>
    </x:row>
    <x:row r="17" ht="26" customHeight="1">
      <x:c r="A17" s="16" t="str">
        <x:v>5. Active se establece en TRUE para los productos nuevos.</x:v>
      </x:c>
      <x:c r="B17" s="16"/>
      <x:c r="C17" s="16"/>
      <x:c r="D17" s="16"/>
      <x:c r="E17" s="16"/>
      <x:c r="F17" s="16"/>
      <x:c r="G17" s="16"/>
    </x:row>
    <x:row r="18" ht="26" customHeight="1">
      <x:c r="A18" s="16" t="str">
        <x:v>6. El cambio de prefijo se limitó a los ocho SKU Hua Xing validados; no tenían ventas asociadas.</x:v>
      </x:c>
      <x:c r="B18" s="16"/>
      <x:c r="C18" s="16"/>
      <x:c r="D18" s="16"/>
      <x:c r="E18" s="16"/>
      <x:c r="F18" s="16"/>
      <x:c r="G18" s="16"/>
    </x:row>
  </x:sheetData>
  <x:mergeCells>
    <x:mergeCell ref="A1:G1"/>
    <x:mergeCell ref="A12:G12"/>
    <x:mergeCell ref="A13:G13"/>
    <x:mergeCell ref="A14:G14"/>
    <x:mergeCell ref="A15:G15"/>
    <x:mergeCell ref="A16:G16"/>
    <x:mergeCell ref="A17:G17"/>
    <x:mergeCell ref="A18:G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5" hidden="0" customWidth="1"/>
    <x:col min="5" max="5" width="12" hidden="0" customWidth="1"/>
    <x:col min="6" max="6" width="10" hidden="0" customWidth="1"/>
    <x:col min="7" max="7" width="15" hidden="0" customWidth="1"/>
    <x:col min="8" max="8" width="20" hidden="0" customWidth="1"/>
    <x:col min="9" max="9" width="30" hidden="0" customWidth="1"/>
    <x:col min="10" max="10" width="15" hidden="0" customWidth="1"/>
  </x:cols>
  <x:sheetData>
    <x:row r="1" ht="32" customHeight="1">
      <x:c r="A1" s="3" t="str">
        <x:v>Productos Hua Xing — preparación para public.skus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17" t="str">
        <x:v>Fuente: ITEMS HUA XING.xls · Los vacíos se insertan como NULL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4">
      <x:c r="A4" s="5" t="str">
        <x:v>Total productos</x:v>
      </x:c>
      <x:c r="B4" s="18" t="n">
        <x:f>COUNTA(A8:A15)</x:f>
        <x:v>8</x:v>
      </x:c>
      <x:c r="C4" s="5"/>
      <x:c r="D4" s="5" t="str">
        <x:v>Insertados</x:v>
      </x:c>
      <x:c r="E4" s="18" t="n">
        <x:f>COUNTIF(J8:J15,"Imported")</x:f>
        <x:v>8</x:v>
      </x:c>
      <x:c r="F4" s="5"/>
      <x:c r="G4" s="5" t="str">
        <x:v>Colisiones</x:v>
      </x:c>
      <x:c r="H4" s="18" t="n">
        <x:v>0</x:v>
      </x:c>
      <x:c r="I4" s="5" t="str">
        <x:v>Compañía</x:v>
      </x:c>
      <x:c r="J4" s="5" t="str">
        <x:v>Hua Xing</x:v>
      </x:c>
    </x:row>
    <x:row r="7">
      <x:c r="A7" s="24" t="str">
        <x:v>SKU</x:v>
      </x:c>
      <x:c r="B7" s="24" t="str">
        <x:v>Item Name</x:v>
      </x:c>
      <x:c r="C7" s="24" t="str">
        <x:v>Brand</x:v>
      </x:c>
      <x:c r="D7" s="24" t="str">
        <x:v>Landed Cost</x:v>
      </x:c>
      <x:c r="E7" s="24" t="str">
        <x:v>Case Pack</x:v>
      </x:c>
      <x:c r="F7" s="24" t="str">
        <x:v>Active</x:v>
      </x:c>
      <x:c r="G7" s="24" t="str">
        <x:v>Company</x:v>
      </x:c>
      <x:c r="H7" s="24" t="str">
        <x:v>Notes</x:v>
      </x:c>
      <x:c r="I7" s="24" t="str">
        <x:v>Missing Fields</x:v>
      </x:c>
      <x:c r="J7" s="24" t="str">
        <x:v>Import Status</x:v>
      </x:c>
    </x:row>
    <x:row r="8" ht="24" customHeight="1">
      <x:c r="A8" s="31" t="str">
        <x:v>HX-001</x:v>
      </x:c>
      <x:c r="B8" s="32" t="str">
        <x:v>AJO CON CASCARA 20/1 LIBRA</x:v>
      </x:c>
      <x:c r="C8" s="32"/>
      <x:c r="D8" s="37"/>
      <x:c r="E8" s="32" t="str">
        <x:v>20</x:v>
      </x:c>
      <x:c r="F8" s="39" t="b">
        <x:v>1</x:v>
      </x:c>
      <x:c r="G8" s="32" t="str">
        <x:v>Hua Xing</x:v>
      </x:c>
      <x:c r="H8" s="32"/>
      <x:c r="I8" s="41" t="str">
        <x:f>IF(C8="","Brand; ","")&amp;IF(D8="","Landed Cost; ","")&amp;IF(H8="","Notes","")</x:f>
        <x:v>Brand; Landed Cost; Notes</x:v>
      </x:c>
      <x:c r="J8" s="32" t="str">
        <x:f>IF(AND(A8&lt;&gt;"",B8&lt;&gt;"",E8&lt;&gt;"",G8="Hua Xing"),"Imported","Review")</x:f>
        <x:v>Imported</x:v>
      </x:c>
    </x:row>
    <x:row r="9" ht="24" customHeight="1">
      <x:c r="A9" s="31" t="str">
        <x:v>HX-002</x:v>
      </x:c>
      <x:c r="B9" s="32" t="str">
        <x:v>AJO CON CASCARA 40/8ONZAS</x:v>
      </x:c>
      <x:c r="C9" s="32"/>
      <x:c r="D9" s="37"/>
      <x:c r="E9" s="32" t="str">
        <x:v>40</x:v>
      </x:c>
      <x:c r="F9" s="39" t="b">
        <x:v>1</x:v>
      </x:c>
      <x:c r="G9" s="32" t="str">
        <x:v>Hua Xing</x:v>
      </x:c>
      <x:c r="H9" s="32"/>
      <x:c r="I9" s="41" t="str">
        <x:f>IF(C9="","Brand; ","")&amp;IF(D9="","Landed Cost; ","")&amp;IF(H9="","Notes","")</x:f>
        <x:v>Brand; Landed Cost; Notes</x:v>
      </x:c>
      <x:c r="J9" s="32" t="str">
        <x:f>IF(AND(A9&lt;&gt;"",B9&lt;&gt;"",E9&lt;&gt;"",G9="Hua Xing"),"Imported","Review")</x:f>
        <x:v>Imported</x:v>
      </x:c>
    </x:row>
    <x:row r="10" ht="24" customHeight="1">
      <x:c r="A10" s="31" t="str">
        <x:v>HX-003</x:v>
      </x:c>
      <x:c r="B10" s="32" t="str">
        <x:v>AJO PELADO 4/5 LIBRAS</x:v>
      </x:c>
      <x:c r="C10" s="32"/>
      <x:c r="D10" s="37"/>
      <x:c r="E10" s="32" t="str">
        <x:v>4</x:v>
      </x:c>
      <x:c r="F10" s="39" t="b">
        <x:v>1</x:v>
      </x:c>
      <x:c r="G10" s="32" t="str">
        <x:v>Hua Xing</x:v>
      </x:c>
      <x:c r="H10" s="32"/>
      <x:c r="I10" s="41" t="str">
        <x:f>IF(C10="","Brand; ","")&amp;IF(D10="","Landed Cost; ","")&amp;IF(H10="","Notes","")</x:f>
        <x:v>Brand; Landed Cost; Notes</x:v>
      </x:c>
      <x:c r="J10" s="32" t="str">
        <x:f>IF(AND(A10&lt;&gt;"",B10&lt;&gt;"",E10&lt;&gt;"",G10="Hua Xing"),"Imported","Review")</x:f>
        <x:v>Imported</x:v>
      </x:c>
    </x:row>
    <x:row r="11" ht="24" customHeight="1">
      <x:c r="A11" s="31" t="str">
        <x:v>HX-004</x:v>
      </x:c>
      <x:c r="B11" s="32" t="str">
        <x:v>AJO PELADO 20/1 LIBRA</x:v>
      </x:c>
      <x:c r="C11" s="32"/>
      <x:c r="D11" s="37"/>
      <x:c r="E11" s="32" t="str">
        <x:v>20</x:v>
      </x:c>
      <x:c r="F11" s="39" t="b">
        <x:v>1</x:v>
      </x:c>
      <x:c r="G11" s="32" t="str">
        <x:v>Hua Xing</x:v>
      </x:c>
      <x:c r="H11" s="32"/>
      <x:c r="I11" s="41" t="str">
        <x:f>IF(C11="","Brand; ","")&amp;IF(D11="","Landed Cost; ","")&amp;IF(H11="","Notes","")</x:f>
        <x:v>Brand; Landed Cost; Notes</x:v>
      </x:c>
      <x:c r="J11" s="32" t="str">
        <x:f>IF(AND(A11&lt;&gt;"",B11&lt;&gt;"",E11&lt;&gt;"",G11="Hua Xing"),"Imported","Review")</x:f>
        <x:v>Imported</x:v>
      </x:c>
    </x:row>
    <x:row r="12" ht="24" customHeight="1">
      <x:c r="A12" s="31" t="str">
        <x:v>HX-PP206</x:v>
      </x:c>
      <x:c r="B12" s="32" t="str">
        <x:v>HINGED CLAMSHELL 6"X 9"</x:v>
      </x:c>
      <x:c r="C12" s="32"/>
      <x:c r="D12" s="37"/>
      <x:c r="E12" s="32" t="str">
        <x:v>250</x:v>
      </x:c>
      <x:c r="F12" s="39" t="b">
        <x:v>1</x:v>
      </x:c>
      <x:c r="G12" s="32" t="str">
        <x:v>Hua Xing</x:v>
      </x:c>
      <x:c r="H12" s="32"/>
      <x:c r="I12" s="41" t="str">
        <x:f>IF(C12="","Brand; ","")&amp;IF(D12="","Landed Cost; ","")&amp;IF(H12="","Notes","")</x:f>
        <x:v>Brand; Landed Cost; Notes</x:v>
      </x:c>
      <x:c r="J12" s="32" t="str">
        <x:f>IF(AND(A12&lt;&gt;"",B12&lt;&gt;"",E12&lt;&gt;"",G12="Hua Xing"),"Imported","Review")</x:f>
        <x:v>Imported</x:v>
      </x:c>
    </x:row>
    <x:row r="13" ht="24" customHeight="1">
      <x:c r="A13" s="31" t="str">
        <x:v>HX-PP601</x:v>
      </x:c>
      <x:c r="B13" s="32" t="str">
        <x:v>HINGED CLAMSHELL 6"X6"</x:v>
      </x:c>
      <x:c r="C13" s="32"/>
      <x:c r="D13" s="37"/>
      <x:c r="E13" s="32" t="str">
        <x:v>250</x:v>
      </x:c>
      <x:c r="F13" s="39" t="b">
        <x:v>1</x:v>
      </x:c>
      <x:c r="G13" s="32" t="str">
        <x:v>Hua Xing</x:v>
      </x:c>
      <x:c r="H13" s="32"/>
      <x:c r="I13" s="41" t="str">
        <x:f>IF(C13="","Brand; ","")&amp;IF(D13="","Landed Cost; ","")&amp;IF(H13="","Notes","")</x:f>
        <x:v>Brand; Landed Cost; Notes</x:v>
      </x:c>
      <x:c r="J13" s="32" t="str">
        <x:f>IF(AND(A13&lt;&gt;"",B13&lt;&gt;"",E13&lt;&gt;"",G13="Hua Xing"),"Imported","Review")</x:f>
        <x:v>Imported</x:v>
      </x:c>
    </x:row>
    <x:row r="14" ht="24" customHeight="1">
      <x:c r="A14" s="31" t="str">
        <x:v>HX-PP801</x:v>
      </x:c>
      <x:c r="B14" s="32" t="str">
        <x:v>HINGED CLAMSHELL 8"X 8"</x:v>
      </x:c>
      <x:c r="C14" s="32"/>
      <x:c r="D14" s="37"/>
      <x:c r="E14" s="32" t="str">
        <x:v>150</x:v>
      </x:c>
      <x:c r="F14" s="39" t="b">
        <x:v>1</x:v>
      </x:c>
      <x:c r="G14" s="32" t="str">
        <x:v>Hua Xing</x:v>
      </x:c>
      <x:c r="H14" s="32"/>
      <x:c r="I14" s="41" t="str">
        <x:f>IF(C14="","Brand; ","")&amp;IF(D14="","Landed Cost; ","")&amp;IF(H14="","Notes","")</x:f>
        <x:v>Brand; Landed Cost; Notes</x:v>
      </x:c>
      <x:c r="J14" s="32" t="str">
        <x:f>IF(AND(A14&lt;&gt;"",B14&lt;&gt;"",E14&lt;&gt;"",G14="Hua Xing"),"Imported","Review")</x:f>
        <x:v>Imported</x:v>
      </x:c>
    </x:row>
    <x:row r="15" ht="24" customHeight="1">
      <x:c r="A15" s="34" t="str">
        <x:v>HX-PP803</x:v>
      </x:c>
      <x:c r="B15" s="35" t="str">
        <x:v>HINGED CLAMSHELL 8"X 8"X 3</x:v>
      </x:c>
      <x:c r="C15" s="35"/>
      <x:c r="D15" s="38"/>
      <x:c r="E15" s="35" t="str">
        <x:v>150</x:v>
      </x:c>
      <x:c r="F15" s="40" t="b">
        <x:v>1</x:v>
      </x:c>
      <x:c r="G15" s="35" t="str">
        <x:v>Hua Xing</x:v>
      </x:c>
      <x:c r="H15" s="35"/>
      <x:c r="I15" s="42" t="str">
        <x:f>IF(C15="","Brand; ","")&amp;IF(D15="","Landed Cost; ","")&amp;IF(H15="","Notes","")</x:f>
        <x:v>Brand; Landed Cost; Notes</x:v>
      </x:c>
      <x:c r="J15" s="35" t="str">
        <x:f>IF(AND(A15&lt;&gt;"",B15&lt;&gt;"",E15&lt;&gt;"",G15="Hua Xing"),"Imported","Review")</x:f>
        <x:v>Imported</x:v>
      </x:c>
    </x:row>
  </x:sheetData>
  <x:mergeCells>
    <x:mergeCell ref="A1:J1"/>
    <x:mergeCell ref="A2:J2"/>
  </x:mergeCells>
  <x:conditionalFormatting sqref="J8:J15">
    <x:cfRule type="containsText" dxfId="0" priority="1" operator="containsText" text="Import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28" hidden="0" customWidth="1"/>
    <x:col min="4" max="4" width="42" hidden="0" customWidth="1"/>
    <x:col min="5" max="5" width="28" hidden="0" customWidth="1"/>
    <x:col min="6" max="6" width="32" hidden="0" customWidth="1"/>
    <x:col min="7" max="7" width="16" hidden="0" customWidth="1"/>
  </x:cols>
  <x:sheetData>
    <x:row r="1" ht="32" customHeight="1">
      <x:c r="A1" s="3" t="str">
        <x:v>Información pendiente para completar la integración Hua Xing</x:v>
      </x:c>
      <x:c r="B1" s="3"/>
      <x:c r="C1" s="3"/>
      <x:c r="D1" s="3"/>
      <x:c r="E1" s="3"/>
      <x:c r="F1" s="3"/>
      <x:c r="G1" s="3"/>
    </x:row>
    <x:row r="3">
      <x:c r="A3" s="43" t="str">
        <x:v>Prioridad</x:v>
      </x:c>
      <x:c r="B3" s="43" t="str">
        <x:v>Alcance</x:v>
      </x:c>
      <x:c r="C3" s="43" t="str">
        <x:v>Campo / Dataset</x:v>
      </x:c>
      <x:c r="D3" s="43" t="str">
        <x:v>Por qué se necesita</x:v>
      </x:c>
      <x:c r="E3" s="43" t="str">
        <x:v>Estado actual</x:v>
      </x:c>
      <x:c r="F3" s="43" t="str">
        <x:v>Fuente sugerida</x:v>
      </x:c>
      <x:c r="G3" s="43" t="str">
        <x:v>Status</x:v>
      </x:c>
    </x:row>
    <x:row r="4" ht="42" customHeight="1">
      <x:c r="A4" s="41" t="str">
        <x:v>Alta</x:v>
      </x:c>
      <x:c r="B4" s="41" t="str">
        <x:v>Por SKU</x:v>
      </x:c>
      <x:c r="C4" s="41" t="str">
        <x:v>Landed cost</x:v>
      </x:c>
      <x:c r="D4" s="41" t="str">
        <x:v>Calcular COGS, gross profit y margen por producto.</x:v>
      </x:c>
      <x:c r="E4" s="41" t="str">
        <x:v>Falta en los 8 SKU</x:v>
      </x:c>
      <x:c r="F4" s="41" t="str">
        <x:v>Lista de costos de Hua Xing</x:v>
      </x:c>
      <x:c r="G4" s="41" t="str">
        <x:v>Pendiente</x:v>
      </x:c>
    </x:row>
    <x:row r="5" ht="42" customHeight="1">
      <x:c r="A5" s="41" t="str">
        <x:v>Media</x:v>
      </x:c>
      <x:c r="B5" s="41" t="str">
        <x:v>Por SKU</x:v>
      </x:c>
      <x:c r="C5" s="41" t="str">
        <x:v>Marca</x:v>
      </x:c>
      <x:c r="D5" s="41" t="str">
        <x:v>Permitir análisis y filtros por marca.</x:v>
      </x:c>
      <x:c r="E5" s="41" t="str">
        <x:v>Falta en los 8 SKU</x:v>
      </x:c>
      <x:c r="F5" s="41" t="str">
        <x:v>Catálogo o proveedor</x:v>
      </x:c>
      <x:c r="G5" s="41" t="str">
        <x:v>Pendiente</x:v>
      </x:c>
    </x:row>
    <x:row r="6" ht="42" customHeight="1">
      <x:c r="A6" s="41" t="str">
        <x:v>Baja</x:v>
      </x:c>
      <x:c r="B6" s="41" t="str">
        <x:v>Por SKU</x:v>
      </x:c>
      <x:c r="C6" s="41" t="str">
        <x:v>Notas</x:v>
      </x:c>
      <x:c r="D6" s="41" t="str">
        <x:v>Conservar detalles comerciales o logísticos opcionales.</x:v>
      </x:c>
      <x:c r="E6" s="41" t="str">
        <x:v>Falta en los 8 SKU</x:v>
      </x:c>
      <x:c r="F6" s="41" t="str">
        <x:v>Operaciones</x:v>
      </x:c>
      <x:c r="G6" s="41" t="str">
        <x:v>Pendiente</x:v>
      </x:c>
    </x:row>
    <x:row r="7" ht="42" customHeight="1">
      <x:c r="A7" s="41" t="str">
        <x:v>Media</x:v>
      </x:c>
      <x:c r="B7" s="41" t="str">
        <x:v>Por SKU</x:v>
      </x:c>
      <x:c r="C7" s="41" t="str">
        <x:v>Fotos de producto</x:v>
      </x:c>
      <x:c r="D7" s="41" t="str">
        <x:v>Mostrar imágenes de SKU con una convención estable.</x:v>
      </x:c>
      <x:c r="E7" s="41" t="str">
        <x:v>No fueron provistas</x:v>
      </x:c>
      <x:c r="F7" s="41" t="str">
        <x:v>Catálogo de Hua Xing</x:v>
      </x:c>
      <x:c r="G7" s="41" t="str">
        <x:v>Pendiente</x:v>
      </x:c>
    </x:row>
    <x:row r="8" ht="42" customHeight="1">
      <x:c r="A8" s="41" t="str">
        <x:v>Alta</x:v>
      </x:c>
      <x:c r="B8" s="41" t="str">
        <x:v>Transacciones</x:v>
      </x:c>
      <x:c r="C8" s="41" t="str">
        <x:v>Archivo de ventas</x:v>
      </x:c>
      <x:c r="D8" s="41" t="str">
        <x:v>Cargar fecha, factura, cliente, SKU, cantidad, importe, vendedor y compañía.</x:v>
      </x:c>
      <x:c r="E8" s="41" t="str">
        <x:v>Pendiente de recibir</x:v>
      </x:c>
      <x:c r="F8" s="41" t="str">
        <x:v>Sistema de Hua Xing</x:v>
      </x:c>
      <x:c r="G8" s="41" t="str">
        <x:v>Pendiente</x:v>
      </x:c>
    </x:row>
    <x:row r="9" ht="42" customHeight="1">
      <x:c r="A9" s="41" t="str">
        <x:v>Alta</x:v>
      </x:c>
      <x:c r="B9" s="41" t="str">
        <x:v>Clientes</x:v>
      </x:c>
      <x:c r="C9" s="41" t="str">
        <x:v>Mapa de nombres Hua Xing → cliente canónico</x:v>
      </x:c>
      <x:c r="D9" s="41" t="str">
        <x:v>Evitar duplicar puntos de venta ya existentes en Vitaplena.</x:v>
      </x:c>
      <x:c r="E9" s="41" t="str">
        <x:v>Pendiente de conciliación</x:v>
      </x:c>
      <x:c r="F9" s="41" t="str">
        <x:v>Archivo de transacciones + maestro Vitaplena</x:v>
      </x:c>
      <x:c r="G9" s="41" t="str">
        <x:v>Pendiente</x:v>
      </x:c>
    </x:row>
    <x:row r="10" ht="42" customHeight="1">
      <x:c r="A10" s="41" t="str">
        <x:v>Media</x:v>
      </x:c>
      <x:c r="B10" s="41" t="str">
        <x:v>Clientes</x:v>
      </x:c>
      <x:c r="C10" s="41" t="str">
        <x:v>Chain, channel y department</x:v>
      </x:c>
      <x:c r="D10" s="41" t="str">
        <x:v>Mantener segmentación correcta cuando una puerta compra en otro departamento.</x:v>
      </x:c>
      <x:c r="E10" s="41" t="str">
        <x:v>Pendiente de validar</x:v>
      </x:c>
      <x:c r="F10" s="41" t="str">
        <x:v>Maestro de clientes</x:v>
      </x:c>
      <x:c r="G10" s="41" t="str">
        <x:v>Pendiente</x:v>
      </x:c>
    </x:row>
    <x:row r="11" ht="42" customHeight="1">
      <x:c r="A11" s="41" t="str">
        <x:v>Alta</x:v>
      </x:c>
      <x:c r="B11" s="41" t="str">
        <x:v>Equipo de ventas</x:v>
      </x:c>
      <x:c r="C11" s="41" t="str">
        <x:v>Nombres canónicos de vendedores</x:v>
      </x:c>
      <x:c r="D11" s="41" t="str">
        <x:v>Vincular las ventas de Hua Xing con los mismos reps de Vitaplena.</x:v>
      </x:c>
      <x:c r="E11" s="41" t="str">
        <x:v>Pendiente de validar con transacciones</x:v>
      </x:c>
      <x:c r="F11" s="41" t="str">
        <x:v>Archivo de transacciones</x:v>
      </x:c>
      <x:c r="G11" s="41" t="str">
        <x:v>Pendiente</x:v>
      </x:c>
    </x:row>
    <x:row r="12" ht="42" customHeight="1">
      <x:c r="A12" s="42" t="str">
        <x:v>Alta</x:v>
      </x:c>
      <x:c r="B12" s="42" t="str">
        <x:v>Modelo de datos</x:v>
      </x:c>
      <x:c r="C12" s="42" t="str">
        <x:v>Unicidad global de SKU</x:v>
      </x:c>
      <x:c r="D12" s="42" t="str">
        <x:v>Evitar colisiones si dos compañías usan el mismo código SKU.</x:v>
      </x:c>
      <x:c r="E12" s="42" t="str">
        <x:v>Prefijo HX- aplicado a los 8 SKU; no había ventas previas ni colisiones</x:v>
      </x:c>
      <x:c r="F12" s="42" t="str">
        <x:v>Aplicar HX- a todo SKU Hua Xing antes de cargar ventas</x:v>
      </x:c>
      <x:c r="G12" s="42" t="str">
        <x:v>Completado</x:v>
      </x:c>
    </x:row>
  </x:sheetData>
  <x:mergeCells>
    <x:mergeCell ref="A1:G1"/>
  </x:mergeCells>
  <x:conditionalFormatting sqref="A4:A12">
    <x:cfRule type="containsText" dxfId="1" priority="1" operator="containsText" text="Alta"/>
    <x:cfRule type="containsText" dxfId="2" priority="2" operator="containsText" text="Media"/>
  </x:conditionalFormatting>
  <x:dataValidations count="1">
    <x:dataValidation type="list" sqref="G4:G12">
      <x:formula1>"Pendiente,En progreso,Completado,No requerido"</x:formula1>
    </x:dataValidation>
  </x:dataValidations>
  <x:pageMargins left="0.7" right="0.7" top="0.75" bottom="0.75" header="0.3" footer="0.3"/>
</x:worksheet>
</file>